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choolTry Finance\Desktop\linkdin\excel\"/>
    </mc:Choice>
  </mc:AlternateContent>
  <xr:revisionPtr revIDLastSave="0" documentId="13_ncr:1_{65956095-F2FD-4E04-9E14-1A075C8E1956}" xr6:coauthVersionLast="47" xr6:coauthVersionMax="47" xr10:uidLastSave="{00000000-0000-0000-0000-000000000000}"/>
  <bookViews>
    <workbookView xWindow="-120" yWindow="-120" windowWidth="24240" windowHeight="13140" xr2:uid="{19930F00-8CAB-4FF0-9FAE-AA818CB1A99D}"/>
  </bookViews>
  <sheets>
    <sheet name="Dashboard" sheetId="1" r:id="rId1"/>
    <sheet name="Pivot table" sheetId="3" r:id="rId2"/>
    <sheet name="indicators dataset" sheetId="2" r:id="rId3"/>
  </sheets>
  <definedNames>
    <definedName name="ExternalData_1" localSheetId="2" hidden="1">'indicators dataset'!$A$1:$D$81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2" i="3" l="1"/>
  <c r="D39" i="3"/>
  <c r="D40" i="3"/>
  <c r="D41" i="3"/>
  <c r="D42" i="3"/>
  <c r="C39" i="3"/>
  <c r="C40" i="3"/>
  <c r="C41" i="3"/>
  <c r="C42" i="3"/>
  <c r="G4" i="1"/>
  <c r="I4" i="1" s="1"/>
  <c r="E4" i="1"/>
  <c r="C5" i="1"/>
  <c r="A5" i="1"/>
  <c r="C4" i="1"/>
  <c r="A4" i="1"/>
  <c r="B39" i="3"/>
  <c r="B40" i="3"/>
  <c r="B41" i="3"/>
  <c r="B42" i="3"/>
  <c r="B38" i="3"/>
  <c r="A39" i="3"/>
  <c r="A40" i="3"/>
  <c r="A41" i="3"/>
  <c r="A38" i="3"/>
  <c r="C28" i="3"/>
  <c r="C27" i="3"/>
  <c r="C26" i="3"/>
  <c r="C25" i="3"/>
  <c r="C6" i="3"/>
  <c r="C7" i="3"/>
  <c r="C8" i="3"/>
  <c r="C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F99E62-4892-4941-9380-4DE5E2F4C8D3}" keepAlive="1" name="Query - indicators dataset" description="Connection to the 'indicators dataset' query in the workbook." type="5" refreshedVersion="8" background="1" saveData="1">
    <dbPr connection="Provider=Microsoft.Mashup.OleDb.1;Data Source=$Workbook$;Location=&quot;indicators dataset&quot;;Extended Properties=&quot;&quot;" command="SELECT * FROM [indicators dataset]"/>
  </connection>
</connections>
</file>

<file path=xl/sharedStrings.xml><?xml version="1.0" encoding="utf-8"?>
<sst xmlns="http://schemas.openxmlformats.org/spreadsheetml/2006/main" count="110" uniqueCount="35">
  <si>
    <t>id</t>
  </si>
  <si>
    <t>indicator_name</t>
  </si>
  <si>
    <t>year</t>
  </si>
  <si>
    <t>value</t>
  </si>
  <si>
    <t>population</t>
  </si>
  <si>
    <t>gdp_growth</t>
  </si>
  <si>
    <t>trade_balance</t>
  </si>
  <si>
    <t>money_supply</t>
  </si>
  <si>
    <t>electricity_consumption</t>
  </si>
  <si>
    <t>gdp_market_prices</t>
  </si>
  <si>
    <t>gdp_per_capita</t>
  </si>
  <si>
    <t>total_domestic_credit</t>
  </si>
  <si>
    <t>construction_output</t>
  </si>
  <si>
    <t>manufacturing_output</t>
  </si>
  <si>
    <t>petroleum_consumption</t>
  </si>
  <si>
    <t>wage_employment</t>
  </si>
  <si>
    <t>education_primary_enrolment</t>
  </si>
  <si>
    <t>education_secondary_enrolment</t>
  </si>
  <si>
    <t>education_university_enrolment</t>
  </si>
  <si>
    <t>education_otherpostsecondary_enrolment</t>
  </si>
  <si>
    <t>Row Labels</t>
  </si>
  <si>
    <t>Grand Total</t>
  </si>
  <si>
    <t>Growth rate</t>
  </si>
  <si>
    <t>Population shows steady growth from 48.8M in 2020 to 52.4M in 2024, with consistent year-over-year increases of ~1.8%–2%.</t>
  </si>
  <si>
    <t>Population</t>
  </si>
  <si>
    <t>Year</t>
  </si>
  <si>
    <t>Population Growth rate</t>
  </si>
  <si>
    <t>Kenya Population &amp; Economic Analysis (2020–2024)</t>
  </si>
  <si>
    <t>Population(M),2024</t>
  </si>
  <si>
    <t>GDP per capita(Ksh),2024</t>
  </si>
  <si>
    <t>2020-2024</t>
  </si>
  <si>
    <t>GDP per capita growth,5-yr</t>
  </si>
  <si>
    <t xml:space="preserve">Real income gain </t>
  </si>
  <si>
    <t>GDP per capita  Growth rate</t>
  </si>
  <si>
    <t>Pop growth,5-yr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</si>
</sst>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72" formatCode="0.0"/>
    <numFmt numFmtId="175" formatCode="&quot;Ksh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Impact"/>
      <family val="2"/>
    </font>
    <font>
      <sz val="20"/>
      <color theme="1"/>
      <name val="Calibri"/>
      <family val="2"/>
    </font>
    <font>
      <b/>
      <sz val="20"/>
      <color theme="3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8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2" fillId="0" borderId="0" xfId="0" applyFont="1"/>
    <xf numFmtId="0" fontId="3" fillId="2" borderId="1" xfId="0" applyFont="1" applyFill="1" applyBorder="1"/>
    <xf numFmtId="0" fontId="0" fillId="0" borderId="0" xfId="0" applyNumberFormat="1"/>
    <xf numFmtId="0" fontId="4" fillId="0" borderId="0" xfId="0" applyFont="1" applyAlignment="1">
      <alignment horizontal="centerContinuous" vertical="distributed"/>
    </xf>
    <xf numFmtId="0" fontId="5" fillId="0" borderId="0" xfId="0" applyFont="1" applyAlignment="1">
      <alignment horizontal="centerContinuous" vertical="distributed"/>
    </xf>
    <xf numFmtId="0" fontId="6" fillId="0" borderId="0" xfId="0" applyFont="1" applyAlignment="1">
      <alignment horizontal="center" vertical="distributed"/>
    </xf>
    <xf numFmtId="0" fontId="7" fillId="0" borderId="2" xfId="0" applyFont="1" applyBorder="1"/>
    <xf numFmtId="164" fontId="8" fillId="0" borderId="3" xfId="0" applyNumberFormat="1" applyFont="1" applyBorder="1"/>
    <xf numFmtId="0" fontId="7" fillId="0" borderId="4" xfId="0" applyFont="1" applyBorder="1"/>
    <xf numFmtId="164" fontId="8" fillId="0" borderId="3" xfId="1" applyNumberFormat="1" applyFont="1" applyBorder="1"/>
    <xf numFmtId="175" fontId="8" fillId="0" borderId="3" xfId="2" applyNumberFormat="1" applyFont="1" applyBorder="1" applyAlignment="1">
      <alignment horizontal="left"/>
    </xf>
    <xf numFmtId="172" fontId="8" fillId="0" borderId="3" xfId="0" applyNumberFormat="1" applyFont="1" applyBorder="1" applyAlignment="1">
      <alignment horizontal="left"/>
    </xf>
    <xf numFmtId="0" fontId="9" fillId="0" borderId="2" xfId="0" applyFont="1" applyBorder="1"/>
    <xf numFmtId="0" fontId="9" fillId="0" borderId="2" xfId="0" applyFont="1" applyBorder="1" applyAlignment="1"/>
  </cellXfs>
  <cellStyles count="3">
    <cellStyle name="Comma" xfId="2" builtinId="3"/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[KNBS_Data project.xlsx]Pivot table!PivotTable2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+mn-lt"/>
              </a:rPr>
              <a:t>Population</a:t>
            </a:r>
            <a:r>
              <a:rPr lang="en-US" sz="1600" b="1" baseline="0">
                <a:latin typeface="+mn-lt"/>
              </a:rPr>
              <a:t> Trend 2020-2024</a:t>
            </a:r>
            <a:endParaRPr lang="en-US" sz="1600" b="1">
              <a:latin typeface="+mn-lt"/>
            </a:endParaRPr>
          </a:p>
        </c:rich>
      </c:tx>
      <c:layout>
        <c:manualLayout>
          <c:xMode val="edge"/>
          <c:yMode val="edge"/>
          <c:x val="0.26979155730533683"/>
          <c:y val="6.277340332458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17650524145403E-2"/>
          <c:y val="0.18021429398736177"/>
          <c:w val="0.89877539856616118"/>
          <c:h val="0.7025308405556949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48.8</c:v>
                </c:pt>
                <c:pt idx="1">
                  <c:v>49.7</c:v>
                </c:pt>
                <c:pt idx="2">
                  <c:v>50.6</c:v>
                </c:pt>
                <c:pt idx="3">
                  <c:v>51.5</c:v>
                </c:pt>
                <c:pt idx="4">
                  <c:v>52.4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2-48A2-9583-EE7685BB36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5117720"/>
        <c:axId val="1075118440"/>
      </c:lineChart>
      <c:catAx>
        <c:axId val="107511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75118440"/>
        <c:crosses val="autoZero"/>
        <c:auto val="1"/>
        <c:lblAlgn val="ctr"/>
        <c:lblOffset val="100"/>
        <c:noMultiLvlLbl val="0"/>
      </c:catAx>
      <c:valAx>
        <c:axId val="1075118440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75117720"/>
        <c:crosses val="autoZero"/>
        <c:crossBetween val="between"/>
      </c:valAx>
      <c:spPr>
        <a:noFill/>
        <a:ln w="4826000"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[KNBS_Data project.xlsx]Pivot table!PivotTable3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GDP</a:t>
            </a:r>
            <a:r>
              <a:rPr lang="en-US" sz="1600" b="1" baseline="0"/>
              <a:t> Per Capita Trend  2020-2024</a:t>
            </a:r>
            <a:endParaRPr lang="en-US" sz="1600" b="1"/>
          </a:p>
        </c:rich>
      </c:tx>
      <c:layout>
        <c:manualLayout>
          <c:xMode val="edge"/>
          <c:yMode val="edge"/>
          <c:x val="0.22992457264957264"/>
          <c:y val="6.321319444444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11452991452993"/>
          <c:y val="0.14591770833333334"/>
          <c:w val="0.85560769230769229"/>
          <c:h val="0.7341454861111110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table'!$A$24:$A$29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219492.2</c:v>
                </c:pt>
                <c:pt idx="1">
                  <c:v>241906.8</c:v>
                </c:pt>
                <c:pt idx="2">
                  <c:v>266473</c:v>
                </c:pt>
                <c:pt idx="3">
                  <c:v>291769.7</c:v>
                </c:pt>
                <c:pt idx="4">
                  <c:v>309460.40000000002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C-4ADF-B5EC-2CCCEEDA5E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5555808"/>
        <c:axId val="585550408"/>
      </c:lineChart>
      <c:catAx>
        <c:axId val="58555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85550408"/>
        <c:crosses val="autoZero"/>
        <c:auto val="1"/>
        <c:lblAlgn val="ctr"/>
        <c:lblOffset val="100"/>
        <c:noMultiLvlLbl val="0"/>
      </c:catAx>
      <c:valAx>
        <c:axId val="585550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8555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Population</a:t>
            </a:r>
            <a:r>
              <a:rPr lang="en-US" sz="1600" b="1" baseline="0"/>
              <a:t> vs GDP Per Capita growth </a:t>
            </a:r>
          </a:p>
          <a:p>
            <a:pPr>
              <a:defRPr/>
            </a:pPr>
            <a:r>
              <a:rPr lang="en-US" sz="1600" b="1" baseline="0"/>
              <a:t>2020-2024 </a:t>
            </a:r>
            <a:endParaRPr lang="en-US" sz="1600" b="1"/>
          </a:p>
        </c:rich>
      </c:tx>
      <c:layout>
        <c:manualLayout>
          <c:xMode val="edge"/>
          <c:yMode val="edge"/>
          <c:x val="0.36073722712371797"/>
          <c:y val="3.33345073079922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table'!$C$37</c:f>
              <c:strCache>
                <c:ptCount val="1"/>
                <c:pt idx="0">
                  <c:v>Population Growth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'Pivot table'!$A$38:$A$42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'Pivot table'!$C$38:$C$42</c:f>
              <c:numCache>
                <c:formatCode>0.00%</c:formatCode>
                <c:ptCount val="5"/>
                <c:pt idx="1">
                  <c:v>1.844262295081979E-2</c:v>
                </c:pt>
                <c:pt idx="2">
                  <c:v>1.8108651911468782E-2</c:v>
                </c:pt>
                <c:pt idx="3">
                  <c:v>1.7786561264822105E-2</c:v>
                </c:pt>
                <c:pt idx="4">
                  <c:v>1.7475728155339779E-2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D-4B6F-B57C-72772A5DD25B}"/>
            </c:ext>
          </c:extLst>
        </c:ser>
        <c:ser>
          <c:idx val="1"/>
          <c:order val="1"/>
          <c:tx>
            <c:strRef>
              <c:f>'Pivot table'!$D$37</c:f>
              <c:strCache>
                <c:ptCount val="1"/>
                <c:pt idx="0">
                  <c:v>GDP per capita  Growth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'Pivot table'!$A$38:$A$42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'Pivot table'!$D$38:$D$42</c:f>
              <c:numCache>
                <c:formatCode>0.00%</c:formatCode>
                <c:ptCount val="5"/>
                <c:pt idx="1">
                  <c:v>0.10212025757635113</c:v>
                </c:pt>
                <c:pt idx="2">
                  <c:v>0.10155233337797868</c:v>
                </c:pt>
                <c:pt idx="3">
                  <c:v>9.4931569052024073E-2</c:v>
                </c:pt>
                <c:pt idx="4">
                  <c:v>6.0632409739599456E-2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D-4B6F-B57C-72772A5DD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3367136"/>
        <c:axId val="1073366416"/>
      </c:barChart>
      <c:catAx>
        <c:axId val="10733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73366416"/>
        <c:crosses val="autoZero"/>
        <c:auto val="1"/>
        <c:lblAlgn val="ctr"/>
        <c:lblOffset val="100"/>
        <c:noMultiLvlLbl val="0"/>
      </c:catAx>
      <c:valAx>
        <c:axId val="10733664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7336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[KNBS_Data project.xlsx]Pivot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+mn-lt"/>
              </a:rPr>
              <a:t>Population</a:t>
            </a:r>
            <a:r>
              <a:rPr lang="en-US" sz="1600" b="1" baseline="0">
                <a:latin typeface="+mn-lt"/>
              </a:rPr>
              <a:t> Trend (2020-2024)</a:t>
            </a:r>
            <a:endParaRPr lang="en-US" sz="1600" b="1">
              <a:latin typeface="+mn-lt"/>
            </a:endParaRPr>
          </a:p>
        </c:rich>
      </c:tx>
      <c:layout>
        <c:manualLayout>
          <c:xMode val="edge"/>
          <c:yMode val="edge"/>
          <c:x val="0.26979155730533683"/>
          <c:y val="6.277340332458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48.8</c:v>
                </c:pt>
                <c:pt idx="1">
                  <c:v>49.7</c:v>
                </c:pt>
                <c:pt idx="2">
                  <c:v>50.6</c:v>
                </c:pt>
                <c:pt idx="3">
                  <c:v>51.5</c:v>
                </c:pt>
                <c:pt idx="4">
                  <c:v>52.4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D-40A8-9CFC-33EB00B3E9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5117720"/>
        <c:axId val="1075118440"/>
      </c:lineChart>
      <c:catAx>
        <c:axId val="107511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75118440"/>
        <c:crosses val="autoZero"/>
        <c:auto val="1"/>
        <c:lblAlgn val="ctr"/>
        <c:lblOffset val="100"/>
        <c:noMultiLvlLbl val="0"/>
      </c:catAx>
      <c:valAx>
        <c:axId val="1075118440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75117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[KNBS_Data project.xlsx]Pivot table!PivotTable3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</a:t>
            </a:r>
            <a:r>
              <a:rPr lang="en-US" b="1" baseline="0"/>
              <a:t> PER CAPITA 2020-2024</a:t>
            </a:r>
            <a:endParaRPr lang="en-US" b="1"/>
          </a:p>
        </c:rich>
      </c:tx>
      <c:layout>
        <c:manualLayout>
          <c:xMode val="edge"/>
          <c:yMode val="edge"/>
          <c:x val="0.27877077865266842"/>
          <c:y val="7.2032662583843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table'!$A$24:$A$29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219492.2</c:v>
                </c:pt>
                <c:pt idx="1">
                  <c:v>241906.8</c:v>
                </c:pt>
                <c:pt idx="2">
                  <c:v>266473</c:v>
                </c:pt>
                <c:pt idx="3">
                  <c:v>291769.7</c:v>
                </c:pt>
                <c:pt idx="4">
                  <c:v>309460.40000000002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4-4C4F-8C49-AB6162F91F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5555808"/>
        <c:axId val="585550408"/>
      </c:lineChart>
      <c:catAx>
        <c:axId val="58555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85550408"/>
        <c:crosses val="autoZero"/>
        <c:auto val="1"/>
        <c:lblAlgn val="ctr"/>
        <c:lblOffset val="100"/>
        <c:noMultiLvlLbl val="0"/>
      </c:catAx>
      <c:valAx>
        <c:axId val="585550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8555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6</xdr:row>
      <xdr:rowOff>19050</xdr:rowOff>
    </xdr:from>
    <xdr:to>
      <xdr:col>3</xdr:col>
      <xdr:colOff>536625</xdr:colOff>
      <xdr:row>21</xdr:row>
      <xdr:rowOff>41550</xdr:rowOff>
    </xdr:to>
    <xdr:graphicFrame macro="">
      <xdr:nvGraphicFramePr>
        <xdr:cNvPr id="11" name="Population">
          <a:extLst>
            <a:ext uri="{FF2B5EF4-FFF2-40B4-BE49-F238E27FC236}">
              <a16:creationId xmlns:a16="http://schemas.microsoft.com/office/drawing/2014/main" id="{77684117-CE32-4F94-8E94-B5312C4D1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38098</xdr:colOff>
      <xdr:row>6</xdr:row>
      <xdr:rowOff>19049</xdr:rowOff>
    </xdr:from>
    <xdr:to>
      <xdr:col>9</xdr:col>
      <xdr:colOff>317548</xdr:colOff>
      <xdr:row>21</xdr:row>
      <xdr:rowOff>41549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11C224-656E-4BC7-8F43-0B71F93AF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123826</xdr:colOff>
      <xdr:row>22</xdr:row>
      <xdr:rowOff>38099</xdr:rowOff>
    </xdr:from>
    <xdr:to>
      <xdr:col>9</xdr:col>
      <xdr:colOff>371476</xdr:colOff>
      <xdr:row>37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B94034E-F331-4505-BAC8-11F5C608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828674</xdr:colOff>
      <xdr:row>0</xdr:row>
      <xdr:rowOff>157162</xdr:rowOff>
    </xdr:from>
    <xdr:to>
      <xdr:col>6</xdr:col>
      <xdr:colOff>1600199</xdr:colOff>
      <xdr:row>15</xdr:row>
      <xdr:rowOff>114300</xdr:rowOff>
    </xdr:to>
    <xdr:graphicFrame macro="">
      <xdr:nvGraphicFramePr>
        <xdr:cNvPr id="3" name="Population">
          <a:extLst>
            <a:ext uri="{FF2B5EF4-FFF2-40B4-BE49-F238E27FC236}">
              <a16:creationId xmlns:a16="http://schemas.microsoft.com/office/drawing/2014/main" id="{A0F5C8D6-0BB2-E08D-280B-0F78EF7ED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752475</xdr:colOff>
      <xdr:row>18</xdr:row>
      <xdr:rowOff>138111</xdr:rowOff>
    </xdr:from>
    <xdr:to>
      <xdr:col>6</xdr:col>
      <xdr:colOff>1552575</xdr:colOff>
      <xdr:row>33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A637CF-F02E-F98F-4024-1FE33385E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hoolTry Finance" refreshedDate="46140.931519212965" createdVersion="8" refreshedVersion="8" minRefreshableVersion="3" recordCount="80" xr:uid="{F6E61980-80EC-42AD-A502-BFC5F0D1D4CC}">
  <cacheSource type="worksheet">
    <worksheetSource name="KNBS_Data"/>
  </cacheSource>
  <cacheFields count="4">
    <cacheField name="id" numFmtId="0">
      <sharedItems containsSemiMixedTypes="0" containsString="0" containsNumber="1" containsInteger="1" minValue="1" maxValue="88"/>
    </cacheField>
    <cacheField name="indicator_name" numFmtId="0">
      <sharedItems count="16">
        <s v="population"/>
        <s v="gdp_growth"/>
        <s v="trade_balance"/>
        <s v="money_supply"/>
        <s v="electricity_consumption"/>
        <s v="gdp_market_prices"/>
        <s v="gdp_per_capita"/>
        <s v="total_domestic_credit"/>
        <s v="construction_output"/>
        <s v="manufacturing_output"/>
        <s v="petroleum_consumption"/>
        <s v="wage_employment"/>
        <s v="education_primary_enrolment"/>
        <s v="education_secondary_enrolment"/>
        <s v="education_university_enrolment"/>
        <s v="education_otherpostsecondary_enrolment"/>
      </sharedItems>
    </cacheField>
    <cacheField name="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value" numFmtId="0">
      <sharedItems containsSemiMixedTypes="0" containsString="0" containsNumber="1" minValue="-1617630.2" maxValue="16224478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x v="0"/>
    <x v="0"/>
    <n v="48.8"/>
  </r>
  <r>
    <n v="2"/>
    <x v="0"/>
    <x v="1"/>
    <n v="49.7"/>
  </r>
  <r>
    <n v="4"/>
    <x v="1"/>
    <x v="0"/>
    <n v="-0.3"/>
  </r>
  <r>
    <n v="5"/>
    <x v="0"/>
    <x v="2"/>
    <n v="50.6"/>
  </r>
  <r>
    <n v="6"/>
    <x v="0"/>
    <x v="3"/>
    <n v="51.5"/>
  </r>
  <r>
    <n v="7"/>
    <x v="0"/>
    <x v="4"/>
    <n v="52.4"/>
  </r>
  <r>
    <n v="8"/>
    <x v="1"/>
    <x v="1"/>
    <n v="7.6"/>
  </r>
  <r>
    <n v="9"/>
    <x v="1"/>
    <x v="2"/>
    <n v="4.9000000000000004"/>
  </r>
  <r>
    <n v="12"/>
    <x v="2"/>
    <x v="0"/>
    <n v="-999853.9"/>
  </r>
  <r>
    <n v="13"/>
    <x v="1"/>
    <x v="3"/>
    <n v="5.7"/>
  </r>
  <r>
    <n v="14"/>
    <x v="1"/>
    <x v="4"/>
    <n v="4.7"/>
  </r>
  <r>
    <n v="15"/>
    <x v="2"/>
    <x v="1"/>
    <n v="-1375688"/>
  </r>
  <r>
    <n v="16"/>
    <x v="2"/>
    <x v="2"/>
    <n v="-1617630.2"/>
  </r>
  <r>
    <n v="17"/>
    <x v="2"/>
    <x v="3"/>
    <n v="-1604057.7"/>
  </r>
  <r>
    <n v="18"/>
    <x v="2"/>
    <x v="4"/>
    <n v="-1593957.4"/>
  </r>
  <r>
    <n v="19"/>
    <x v="3"/>
    <x v="0"/>
    <n v="4414885"/>
  </r>
  <r>
    <n v="20"/>
    <x v="3"/>
    <x v="1"/>
    <n v="4689439"/>
  </r>
  <r>
    <n v="21"/>
    <x v="3"/>
    <x v="2"/>
    <n v="5042419"/>
  </r>
  <r>
    <n v="22"/>
    <x v="3"/>
    <x v="3"/>
    <n v="6044533"/>
  </r>
  <r>
    <n v="23"/>
    <x v="3"/>
    <x v="4"/>
    <n v="6105541"/>
  </r>
  <r>
    <n v="24"/>
    <x v="4"/>
    <x v="0"/>
    <n v="8796.4"/>
  </r>
  <r>
    <n v="25"/>
    <x v="4"/>
    <x v="1"/>
    <n v="9565.4"/>
  </r>
  <r>
    <n v="26"/>
    <x v="4"/>
    <x v="2"/>
    <n v="10008.4"/>
  </r>
  <r>
    <n v="27"/>
    <x v="4"/>
    <x v="3"/>
    <n v="10320.6"/>
  </r>
  <r>
    <n v="28"/>
    <x v="4"/>
    <x v="4"/>
    <n v="10751.7"/>
  </r>
  <r>
    <n v="29"/>
    <x v="5"/>
    <x v="0"/>
    <n v="10715070"/>
  </r>
  <r>
    <n v="30"/>
    <x v="5"/>
    <x v="1"/>
    <n v="12027661.5"/>
  </r>
  <r>
    <n v="31"/>
    <x v="5"/>
    <x v="2"/>
    <n v="13489641.5"/>
  </r>
  <r>
    <n v="32"/>
    <x v="5"/>
    <x v="3"/>
    <n v="15033610"/>
  </r>
  <r>
    <n v="33"/>
    <x v="5"/>
    <x v="4"/>
    <n v="16224478.5"/>
  </r>
  <r>
    <n v="34"/>
    <x v="6"/>
    <x v="0"/>
    <n v="219492.2"/>
  </r>
  <r>
    <n v="35"/>
    <x v="6"/>
    <x v="1"/>
    <n v="241906.8"/>
  </r>
  <r>
    <n v="36"/>
    <x v="6"/>
    <x v="2"/>
    <n v="266473"/>
  </r>
  <r>
    <n v="37"/>
    <x v="6"/>
    <x v="3"/>
    <n v="291769.7"/>
  </r>
  <r>
    <n v="38"/>
    <x v="6"/>
    <x v="4"/>
    <n v="309460.40000000002"/>
  </r>
  <r>
    <n v="39"/>
    <x v="7"/>
    <x v="0"/>
    <n v="4869627"/>
  </r>
  <r>
    <n v="40"/>
    <x v="7"/>
    <x v="1"/>
    <n v="5566513"/>
  </r>
  <r>
    <n v="41"/>
    <x v="7"/>
    <x v="2"/>
    <n v="6246348"/>
  </r>
  <r>
    <n v="42"/>
    <x v="7"/>
    <x v="3"/>
    <n v="7041087"/>
  </r>
  <r>
    <n v="43"/>
    <x v="7"/>
    <x v="4"/>
    <n v="7197303"/>
  </r>
  <r>
    <n v="44"/>
    <x v="8"/>
    <x v="0"/>
    <n v="1623605"/>
  </r>
  <r>
    <n v="45"/>
    <x v="8"/>
    <x v="1"/>
    <n v="1821644"/>
  </r>
  <r>
    <n v="46"/>
    <x v="8"/>
    <x v="2"/>
    <n v="2042781.5"/>
  </r>
  <r>
    <n v="47"/>
    <x v="8"/>
    <x v="3"/>
    <n v="2119786.7999999998"/>
  </r>
  <r>
    <n v="48"/>
    <x v="8"/>
    <x v="4"/>
    <n v="2171266"/>
  </r>
  <r>
    <n v="49"/>
    <x v="9"/>
    <x v="0"/>
    <n v="2376422.7000000002"/>
  </r>
  <r>
    <n v="50"/>
    <x v="9"/>
    <x v="1"/>
    <n v="2700161.2"/>
  </r>
  <r>
    <n v="51"/>
    <x v="9"/>
    <x v="2"/>
    <n v="3168615"/>
  </r>
  <r>
    <n v="52"/>
    <x v="9"/>
    <x v="3"/>
    <n v="3511497.7"/>
  </r>
  <r>
    <n v="53"/>
    <x v="9"/>
    <x v="4"/>
    <n v="3691741.8"/>
  </r>
  <r>
    <n v="54"/>
    <x v="10"/>
    <x v="0"/>
    <n v="4678.5"/>
  </r>
  <r>
    <n v="55"/>
    <x v="10"/>
    <x v="1"/>
    <n v="5192.1000000000004"/>
  </r>
  <r>
    <n v="56"/>
    <x v="10"/>
    <x v="2"/>
    <n v="5134.1000000000004"/>
  </r>
  <r>
    <n v="57"/>
    <x v="10"/>
    <x v="3"/>
    <n v="5102.3999999999996"/>
  </r>
  <r>
    <n v="58"/>
    <x v="10"/>
    <x v="4"/>
    <n v="5199.3999999999996"/>
  </r>
  <r>
    <n v="64"/>
    <x v="11"/>
    <x v="0"/>
    <n v="2742.6"/>
  </r>
  <r>
    <n v="65"/>
    <x v="11"/>
    <x v="1"/>
    <n v="2907.3"/>
  </r>
  <r>
    <n v="66"/>
    <x v="11"/>
    <x v="2"/>
    <n v="3015.4"/>
  </r>
  <r>
    <n v="67"/>
    <x v="11"/>
    <x v="3"/>
    <n v="3138.5"/>
  </r>
  <r>
    <n v="68"/>
    <x v="11"/>
    <x v="4"/>
    <n v="3219"/>
  </r>
  <r>
    <n v="69"/>
    <x v="12"/>
    <x v="0"/>
    <n v="10170.1"/>
  </r>
  <r>
    <n v="70"/>
    <x v="12"/>
    <x v="1"/>
    <n v="10285.1"/>
  </r>
  <r>
    <n v="71"/>
    <x v="12"/>
    <x v="2"/>
    <n v="10364.200000000001"/>
  </r>
  <r>
    <n v="72"/>
    <x v="12"/>
    <x v="3"/>
    <n v="10397.1"/>
  </r>
  <r>
    <n v="73"/>
    <x v="12"/>
    <x v="4"/>
    <n v="10733.3"/>
  </r>
  <r>
    <n v="74"/>
    <x v="13"/>
    <x v="0"/>
    <n v="3520.4"/>
  </r>
  <r>
    <n v="75"/>
    <x v="13"/>
    <x v="1"/>
    <n v="3692"/>
  </r>
  <r>
    <n v="76"/>
    <x v="13"/>
    <x v="2"/>
    <n v="3920.3"/>
  </r>
  <r>
    <n v="77"/>
    <x v="13"/>
    <x v="3"/>
    <n v="4108.1000000000004"/>
  </r>
  <r>
    <n v="78"/>
    <x v="13"/>
    <x v="4"/>
    <n v="4321.6000000000004"/>
  </r>
  <r>
    <n v="79"/>
    <x v="14"/>
    <x v="0"/>
    <n v="546.70000000000005"/>
  </r>
  <r>
    <n v="80"/>
    <x v="14"/>
    <x v="1"/>
    <n v="562"/>
  </r>
  <r>
    <n v="81"/>
    <x v="14"/>
    <x v="2"/>
    <n v="562.9"/>
  </r>
  <r>
    <n v="82"/>
    <x v="14"/>
    <x v="3"/>
    <n v="579.4"/>
  </r>
  <r>
    <n v="83"/>
    <x v="14"/>
    <x v="4"/>
    <n v="630.20000000000005"/>
  </r>
  <r>
    <n v="84"/>
    <x v="15"/>
    <x v="0"/>
    <n v="469.1"/>
  </r>
  <r>
    <n v="85"/>
    <x v="15"/>
    <x v="1"/>
    <n v="520.20000000000005"/>
  </r>
  <r>
    <n v="86"/>
    <x v="15"/>
    <x v="2"/>
    <n v="580.5"/>
  </r>
  <r>
    <n v="87"/>
    <x v="15"/>
    <x v="3"/>
    <n v="676.2"/>
  </r>
  <r>
    <n v="88"/>
    <x v="15"/>
    <x v="4"/>
    <n v="7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6FE49-9421-4946-B61C-7ED4E0C9CD10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3">
  <location ref="A23:B29" firstHeaderRow="1" firstDataRow="1" firstDataCol="1" rowPageCount="1" colPageCount="1"/>
  <pivotFields count="4">
    <pivotField showAll="0"/>
    <pivotField axis="axisPage" multipleItemSelectionAllowed="1" showAll="0">
      <items count="17">
        <item h="1" x="8"/>
        <item h="1" x="15"/>
        <item h="1" x="12"/>
        <item h="1" x="13"/>
        <item h="1" x="14"/>
        <item h="1" x="4"/>
        <item h="1" x="1"/>
        <item h="1" x="5"/>
        <item x="6"/>
        <item h="1" x="9"/>
        <item h="1" x="3"/>
        <item h="1" x="10"/>
        <item h="1" x="0"/>
        <item h="1" x="7"/>
        <item h="1" x="2"/>
        <item h="1" x="1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gdp_per_capita" fld="3" baseField="2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9A561-0861-4726-BDBE-46C0C692C2FD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1">
  <location ref="A3:B9" firstHeaderRow="1" firstDataRow="1" firstDataCol="1" rowPageCount="1" colPageCount="1"/>
  <pivotFields count="4">
    <pivotField showAll="0"/>
    <pivotField axis="axisPage" multipleItemSelectionAllowed="1" showAll="0">
      <items count="17">
        <item h="1" x="8"/>
        <item h="1" x="15"/>
        <item h="1" x="12"/>
        <item h="1" x="13"/>
        <item h="1" x="14"/>
        <item h="1" x="4"/>
        <item h="1" x="1"/>
        <item h="1" x="5"/>
        <item h="1" x="6"/>
        <item h="1" x="9"/>
        <item h="1" x="3"/>
        <item h="1" x="10"/>
        <item x="0"/>
        <item h="1" x="7"/>
        <item h="1" x="2"/>
        <item h="1" x="1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Population" fld="3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DDFCCE-F77B-46A8-8274-58B137C72AA4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indicator_name" tableColumnId="2"/>
      <queryTableField id="3" name="year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2BD46-EDDB-403E-AC8E-987BEF1D2813}" name="KNBS_Data" displayName="KNBS_Data" ref="A1:D81" tableType="queryTable" totalsRowShown="0">
  <autoFilter ref="A1:D81" xr:uid="{5072BD46-EDDB-403E-AC8E-987BEF1D2813}"/>
  <tableColumns count="4">
    <tableColumn id="1" xr3:uid="{5E42CB54-7BAE-4671-9076-62DC6872A888}" uniqueName="1" name="id" queryTableFieldId="1"/>
    <tableColumn id="2" xr3:uid="{46105D8D-F811-4EF5-8F54-CE774B946A49}" uniqueName="2" name="indicator_name" queryTableFieldId="2" dataDxfId="0"/>
    <tableColumn id="3" xr3:uid="{4025FE66-5B47-4D30-A0DA-34B7AE56F9E9}" uniqueName="3" name="year" queryTableFieldId="3"/>
    <tableColumn id="4" xr3:uid="{46AC7BDA-C96C-403E-A735-F0B59B853B64}" uniqueName="4" name="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9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CF95FC-1331-49F4-B71A-F242C614852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f90077f-0509-4702-995f-c4a1778e1bb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93A3-B645-4978-8B06-68FD682020FD}">
  <dimension ref="A1:Q5"/>
  <sheetViews>
    <sheetView showGridLines="0" tabSelected="1" topLeftCell="A2" zoomScaleNormal="100" workbookViewId="0">
      <selection activeCell="O7" sqref="O7"/>
    </sheetView>
  </sheetViews>
  <sheetFormatPr defaultRowHeight="15" x14ac:dyDescent="0.25"/>
  <cols>
    <col min="1" max="1" width="17" bestFit="1" customWidth="1"/>
    <col min="3" max="3" width="37.85546875" bestFit="1" customWidth="1"/>
    <col min="5" max="5" width="12.5703125" bestFit="1" customWidth="1"/>
    <col min="7" max="7" width="19.7109375" customWidth="1"/>
    <col min="9" max="9" width="15.42578125" bestFit="1" customWidth="1"/>
  </cols>
  <sheetData>
    <row r="1" spans="1:17" ht="56.25" customHeight="1" x14ac:dyDescent="0.25">
      <c r="A1" s="9" t="s">
        <v>27</v>
      </c>
      <c r="B1" s="9"/>
      <c r="C1" s="9"/>
      <c r="D1" s="9"/>
      <c r="E1" s="9"/>
      <c r="F1" s="9"/>
      <c r="G1" s="9"/>
      <c r="H1" s="9"/>
      <c r="I1" s="9"/>
      <c r="J1" s="7"/>
      <c r="K1" s="7"/>
      <c r="L1" s="8"/>
      <c r="M1" s="7"/>
      <c r="N1" s="7"/>
      <c r="O1" s="7"/>
      <c r="P1" s="7"/>
      <c r="Q1" s="7"/>
    </row>
    <row r="2" spans="1:17" ht="15.75" thickBot="1" x14ac:dyDescent="0.3"/>
    <row r="3" spans="1:17" x14ac:dyDescent="0.25">
      <c r="A3" s="10" t="s">
        <v>28</v>
      </c>
      <c r="C3" s="10" t="s">
        <v>29</v>
      </c>
      <c r="E3" s="17" t="s">
        <v>34</v>
      </c>
      <c r="G3" s="16" t="s">
        <v>31</v>
      </c>
      <c r="I3" s="10" t="s">
        <v>32</v>
      </c>
    </row>
    <row r="4" spans="1:17" ht="36" x14ac:dyDescent="0.55000000000000004">
      <c r="A4" s="15">
        <f>'Pivot table'!$B$8</f>
        <v>52.4</v>
      </c>
      <c r="C4" s="14">
        <f>'Pivot table'!$B$28</f>
        <v>309460.40000000002</v>
      </c>
      <c r="E4" s="13">
        <f>('Pivot table'!$B$8-'Pivot table'!$B$4)/'Pivot table'!$B$4</f>
        <v>7.3770491803278729E-2</v>
      </c>
      <c r="G4" s="11">
        <f>('Pivot table'!$B$28-'Pivot table'!$B$24)/'Pivot table'!$B$24</f>
        <v>0.40989246998298806</v>
      </c>
      <c r="I4" s="11">
        <f>G4-E4</f>
        <v>0.33612197817970935</v>
      </c>
    </row>
    <row r="5" spans="1:17" ht="15.75" thickBot="1" x14ac:dyDescent="0.3">
      <c r="A5" s="12" t="str">
        <f>"YoY: "&amp;TEXT(('Pivot table'!$B$8-'Pivot table'!$B$7)/'Pivot table'!$B$7,"0.0%")</f>
        <v>YoY: 1.7%</v>
      </c>
      <c r="C5" s="12" t="str">
        <f>"YoY: "&amp;TEXT(('Pivot table'!$B$28-'Pivot table'!$B$27)/'Pivot table'!$B$27,"0.0%")</f>
        <v>YoY: 6.1%</v>
      </c>
      <c r="E5" s="12" t="s">
        <v>30</v>
      </c>
      <c r="G5" s="12" t="s">
        <v>30</v>
      </c>
      <c r="I5" s="12" t="s">
        <v>30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B744-F5F2-4E8A-8118-D340E06EAC34}">
  <dimension ref="A1:E42"/>
  <sheetViews>
    <sheetView topLeftCell="E8" zoomScaleNormal="100" workbookViewId="0">
      <selection activeCell="I39" sqref="I39"/>
    </sheetView>
  </sheetViews>
  <sheetFormatPr defaultRowHeight="15" x14ac:dyDescent="0.25"/>
  <cols>
    <col min="1" max="1" width="15" bestFit="1" customWidth="1"/>
    <col min="2" max="2" width="17" bestFit="1" customWidth="1"/>
    <col min="3" max="3" width="40" bestFit="1" customWidth="1"/>
    <col min="4" max="4" width="40" customWidth="1"/>
    <col min="5" max="5" width="28.7109375" bestFit="1" customWidth="1"/>
    <col min="6" max="6" width="31" bestFit="1" customWidth="1"/>
    <col min="7" max="7" width="30.85546875" bestFit="1" customWidth="1"/>
    <col min="8" max="8" width="22.85546875" bestFit="1" customWidth="1"/>
    <col min="9" max="9" width="11.5703125" bestFit="1" customWidth="1"/>
    <col min="10" max="10" width="18.140625" bestFit="1" customWidth="1"/>
    <col min="11" max="11" width="14.7109375" bestFit="1" customWidth="1"/>
    <col min="12" max="12" width="21.140625" bestFit="1" customWidth="1"/>
    <col min="13" max="13" width="14.140625" bestFit="1" customWidth="1"/>
    <col min="14" max="14" width="23.42578125" bestFit="1" customWidth="1"/>
    <col min="15" max="15" width="10.7109375" bestFit="1" customWidth="1"/>
    <col min="16" max="16" width="20.7109375" bestFit="1" customWidth="1"/>
    <col min="17" max="17" width="13.7109375" bestFit="1" customWidth="1"/>
    <col min="18" max="18" width="18.42578125" bestFit="1" customWidth="1"/>
    <col min="19" max="19" width="12" bestFit="1" customWidth="1"/>
  </cols>
  <sheetData>
    <row r="1" spans="1:4" x14ac:dyDescent="0.25">
      <c r="A1" s="1" t="s">
        <v>1</v>
      </c>
      <c r="B1" t="s">
        <v>4</v>
      </c>
    </row>
    <row r="3" spans="1:4" x14ac:dyDescent="0.25">
      <c r="A3" s="1" t="s">
        <v>20</v>
      </c>
      <c r="B3" t="s">
        <v>24</v>
      </c>
      <c r="C3" t="s">
        <v>22</v>
      </c>
    </row>
    <row r="4" spans="1:4" x14ac:dyDescent="0.25">
      <c r="A4" s="2">
        <v>2020</v>
      </c>
      <c r="B4">
        <v>48.8</v>
      </c>
    </row>
    <row r="5" spans="1:4" x14ac:dyDescent="0.25">
      <c r="A5" s="2">
        <v>2021</v>
      </c>
      <c r="B5">
        <v>49.7</v>
      </c>
      <c r="C5" s="3">
        <f>(B5-B4)/B4</f>
        <v>1.844262295081979E-2</v>
      </c>
      <c r="D5" s="3"/>
    </row>
    <row r="6" spans="1:4" x14ac:dyDescent="0.25">
      <c r="A6" s="2">
        <v>2022</v>
      </c>
      <c r="B6">
        <v>50.6</v>
      </c>
      <c r="C6" s="3">
        <f t="shared" ref="C6:C8" si="0">(B6-B5)/B5</f>
        <v>1.8108651911468782E-2</v>
      </c>
      <c r="D6" s="3"/>
    </row>
    <row r="7" spans="1:4" x14ac:dyDescent="0.25">
      <c r="A7" s="2">
        <v>2023</v>
      </c>
      <c r="B7">
        <v>51.5</v>
      </c>
      <c r="C7" s="3">
        <f t="shared" si="0"/>
        <v>1.7786561264822105E-2</v>
      </c>
      <c r="D7" s="3"/>
    </row>
    <row r="8" spans="1:4" x14ac:dyDescent="0.25">
      <c r="A8" s="2">
        <v>2024</v>
      </c>
      <c r="B8">
        <v>52.4</v>
      </c>
      <c r="C8" s="3">
        <f t="shared" si="0"/>
        <v>1.7475728155339779E-2</v>
      </c>
      <c r="D8" s="3"/>
    </row>
    <row r="9" spans="1:4" x14ac:dyDescent="0.25">
      <c r="A9" s="2" t="s">
        <v>21</v>
      </c>
      <c r="B9">
        <v>253</v>
      </c>
    </row>
    <row r="17" spans="1:5" x14ac:dyDescent="0.25">
      <c r="E17" s="4" t="s">
        <v>23</v>
      </c>
    </row>
    <row r="21" spans="1:5" x14ac:dyDescent="0.25">
      <c r="A21" s="1" t="s">
        <v>1</v>
      </c>
      <c r="B21" t="s">
        <v>10</v>
      </c>
    </row>
    <row r="23" spans="1:5" x14ac:dyDescent="0.25">
      <c r="A23" s="1" t="s">
        <v>20</v>
      </c>
      <c r="B23" t="s">
        <v>10</v>
      </c>
      <c r="C23" t="s">
        <v>22</v>
      </c>
    </row>
    <row r="24" spans="1:5" x14ac:dyDescent="0.25">
      <c r="A24" s="2">
        <v>2020</v>
      </c>
      <c r="B24" s="6">
        <v>219492.2</v>
      </c>
    </row>
    <row r="25" spans="1:5" x14ac:dyDescent="0.25">
      <c r="A25" s="2">
        <v>2021</v>
      </c>
      <c r="B25" s="6">
        <v>241906.8</v>
      </c>
      <c r="C25" s="3">
        <f>(B25-B24)/B24</f>
        <v>0.10212025757635113</v>
      </c>
      <c r="D25" s="3"/>
    </row>
    <row r="26" spans="1:5" x14ac:dyDescent="0.25">
      <c r="A26" s="2">
        <v>2022</v>
      </c>
      <c r="B26" s="6">
        <v>266473</v>
      </c>
      <c r="C26" s="3">
        <f t="shared" ref="C26:C28" si="1">(B26-B25)/B25</f>
        <v>0.10155233337797868</v>
      </c>
      <c r="D26" s="3"/>
    </row>
    <row r="27" spans="1:5" x14ac:dyDescent="0.25">
      <c r="A27" s="2">
        <v>2023</v>
      </c>
      <c r="B27" s="6">
        <v>291769.7</v>
      </c>
      <c r="C27" s="3">
        <f t="shared" si="1"/>
        <v>9.4931569052024073E-2</v>
      </c>
      <c r="D27" s="3"/>
    </row>
    <row r="28" spans="1:5" x14ac:dyDescent="0.25">
      <c r="A28" s="2">
        <v>2024</v>
      </c>
      <c r="B28" s="6">
        <v>309460.40000000002</v>
      </c>
      <c r="C28" s="3">
        <f t="shared" si="1"/>
        <v>6.0632409739599456E-2</v>
      </c>
      <c r="D28" s="3"/>
    </row>
    <row r="29" spans="1:5" x14ac:dyDescent="0.25">
      <c r="A29" s="2" t="s">
        <v>21</v>
      </c>
      <c r="B29" s="6">
        <v>1329102.1000000001</v>
      </c>
    </row>
    <row r="37" spans="1:4" x14ac:dyDescent="0.25">
      <c r="A37" t="s">
        <v>25</v>
      </c>
      <c r="B37" s="5" t="s">
        <v>10</v>
      </c>
      <c r="C37" t="s">
        <v>26</v>
      </c>
      <c r="D37" t="s">
        <v>33</v>
      </c>
    </row>
    <row r="38" spans="1:4" x14ac:dyDescent="0.25">
      <c r="A38">
        <f>A24</f>
        <v>2020</v>
      </c>
      <c r="B38">
        <f>B24</f>
        <v>219492.2</v>
      </c>
      <c r="C38" s="3"/>
      <c r="D38" s="3"/>
    </row>
    <row r="39" spans="1:4" x14ac:dyDescent="0.25">
      <c r="A39">
        <f t="shared" ref="A39:B41" si="2">A25</f>
        <v>2021</v>
      </c>
      <c r="B39">
        <f t="shared" si="2"/>
        <v>241906.8</v>
      </c>
      <c r="C39" s="3">
        <f t="shared" ref="C39:C42" si="3">C5</f>
        <v>1.844262295081979E-2</v>
      </c>
      <c r="D39" s="3">
        <f t="shared" ref="D39:D42" si="4">C25</f>
        <v>0.10212025757635113</v>
      </c>
    </row>
    <row r="40" spans="1:4" x14ac:dyDescent="0.25">
      <c r="A40">
        <f t="shared" si="2"/>
        <v>2022</v>
      </c>
      <c r="B40">
        <f t="shared" si="2"/>
        <v>266473</v>
      </c>
      <c r="C40" s="3">
        <f t="shared" si="3"/>
        <v>1.8108651911468782E-2</v>
      </c>
      <c r="D40" s="3">
        <f t="shared" si="4"/>
        <v>0.10155233337797868</v>
      </c>
    </row>
    <row r="41" spans="1:4" x14ac:dyDescent="0.25">
      <c r="A41">
        <f t="shared" si="2"/>
        <v>2023</v>
      </c>
      <c r="B41">
        <f t="shared" si="2"/>
        <v>291769.7</v>
      </c>
      <c r="C41" s="3">
        <f t="shared" si="3"/>
        <v>1.7786561264822105E-2</v>
      </c>
      <c r="D41" s="3">
        <f t="shared" si="4"/>
        <v>9.4931569052024073E-2</v>
      </c>
    </row>
    <row r="42" spans="1:4" x14ac:dyDescent="0.25">
      <c r="A42">
        <f>A28</f>
        <v>2024</v>
      </c>
      <c r="B42">
        <f t="shared" ref="B42" si="5">B28</f>
        <v>309460.40000000002</v>
      </c>
      <c r="C42" s="3">
        <f t="shared" si="3"/>
        <v>1.7475728155339779E-2</v>
      </c>
      <c r="D42" s="3">
        <f t="shared" si="4"/>
        <v>6.0632409739599456E-2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EFD6-F397-431F-A7C8-5C3EE55E6915}">
  <dimension ref="A1:D81"/>
  <sheetViews>
    <sheetView workbookViewId="0">
      <selection activeCell="G16" sqref="G16"/>
    </sheetView>
  </sheetViews>
  <sheetFormatPr defaultRowHeight="15" x14ac:dyDescent="0.25"/>
  <cols>
    <col min="1" max="1" width="5" bestFit="1" customWidth="1"/>
    <col min="2" max="2" width="40" bestFit="1" customWidth="1"/>
    <col min="3" max="3" width="7.140625" bestFit="1" customWidth="1"/>
    <col min="4" max="4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2020</v>
      </c>
      <c r="D2">
        <v>48.8</v>
      </c>
    </row>
    <row r="3" spans="1:4" x14ac:dyDescent="0.25">
      <c r="A3">
        <v>2</v>
      </c>
      <c r="B3" t="s">
        <v>4</v>
      </c>
      <c r="C3">
        <v>2021</v>
      </c>
      <c r="D3">
        <v>49.7</v>
      </c>
    </row>
    <row r="4" spans="1:4" x14ac:dyDescent="0.25">
      <c r="A4">
        <v>4</v>
      </c>
      <c r="B4" t="s">
        <v>5</v>
      </c>
      <c r="C4">
        <v>2020</v>
      </c>
      <c r="D4">
        <v>-0.3</v>
      </c>
    </row>
    <row r="5" spans="1:4" x14ac:dyDescent="0.25">
      <c r="A5">
        <v>5</v>
      </c>
      <c r="B5" t="s">
        <v>4</v>
      </c>
      <c r="C5">
        <v>2022</v>
      </c>
      <c r="D5">
        <v>50.6</v>
      </c>
    </row>
    <row r="6" spans="1:4" x14ac:dyDescent="0.25">
      <c r="A6">
        <v>6</v>
      </c>
      <c r="B6" t="s">
        <v>4</v>
      </c>
      <c r="C6">
        <v>2023</v>
      </c>
      <c r="D6">
        <v>51.5</v>
      </c>
    </row>
    <row r="7" spans="1:4" x14ac:dyDescent="0.25">
      <c r="A7">
        <v>7</v>
      </c>
      <c r="B7" t="s">
        <v>4</v>
      </c>
      <c r="C7">
        <v>2024</v>
      </c>
      <c r="D7">
        <v>52.4</v>
      </c>
    </row>
    <row r="8" spans="1:4" x14ac:dyDescent="0.25">
      <c r="A8">
        <v>8</v>
      </c>
      <c r="B8" t="s">
        <v>5</v>
      </c>
      <c r="C8">
        <v>2021</v>
      </c>
      <c r="D8">
        <v>7.6</v>
      </c>
    </row>
    <row r="9" spans="1:4" x14ac:dyDescent="0.25">
      <c r="A9">
        <v>9</v>
      </c>
      <c r="B9" t="s">
        <v>5</v>
      </c>
      <c r="C9">
        <v>2022</v>
      </c>
      <c r="D9">
        <v>4.9000000000000004</v>
      </c>
    </row>
    <row r="10" spans="1:4" x14ac:dyDescent="0.25">
      <c r="A10">
        <v>12</v>
      </c>
      <c r="B10" t="s">
        <v>6</v>
      </c>
      <c r="C10">
        <v>2020</v>
      </c>
      <c r="D10">
        <v>-999853.9</v>
      </c>
    </row>
    <row r="11" spans="1:4" x14ac:dyDescent="0.25">
      <c r="A11">
        <v>13</v>
      </c>
      <c r="B11" t="s">
        <v>5</v>
      </c>
      <c r="C11">
        <v>2023</v>
      </c>
      <c r="D11">
        <v>5.7</v>
      </c>
    </row>
    <row r="12" spans="1:4" x14ac:dyDescent="0.25">
      <c r="A12">
        <v>14</v>
      </c>
      <c r="B12" t="s">
        <v>5</v>
      </c>
      <c r="C12">
        <v>2024</v>
      </c>
      <c r="D12">
        <v>4.7</v>
      </c>
    </row>
    <row r="13" spans="1:4" x14ac:dyDescent="0.25">
      <c r="A13">
        <v>15</v>
      </c>
      <c r="B13" t="s">
        <v>6</v>
      </c>
      <c r="C13">
        <v>2021</v>
      </c>
      <c r="D13">
        <v>-1375688</v>
      </c>
    </row>
    <row r="14" spans="1:4" x14ac:dyDescent="0.25">
      <c r="A14">
        <v>16</v>
      </c>
      <c r="B14" t="s">
        <v>6</v>
      </c>
      <c r="C14">
        <v>2022</v>
      </c>
      <c r="D14">
        <v>-1617630.2</v>
      </c>
    </row>
    <row r="15" spans="1:4" x14ac:dyDescent="0.25">
      <c r="A15">
        <v>17</v>
      </c>
      <c r="B15" t="s">
        <v>6</v>
      </c>
      <c r="C15">
        <v>2023</v>
      </c>
      <c r="D15">
        <v>-1604057.7</v>
      </c>
    </row>
    <row r="16" spans="1:4" x14ac:dyDescent="0.25">
      <c r="A16">
        <v>18</v>
      </c>
      <c r="B16" t="s">
        <v>6</v>
      </c>
      <c r="C16">
        <v>2024</v>
      </c>
      <c r="D16">
        <v>-1593957.4</v>
      </c>
    </row>
    <row r="17" spans="1:4" x14ac:dyDescent="0.25">
      <c r="A17">
        <v>19</v>
      </c>
      <c r="B17" t="s">
        <v>7</v>
      </c>
      <c r="C17">
        <v>2020</v>
      </c>
      <c r="D17">
        <v>4414885</v>
      </c>
    </row>
    <row r="18" spans="1:4" x14ac:dyDescent="0.25">
      <c r="A18">
        <v>20</v>
      </c>
      <c r="B18" t="s">
        <v>7</v>
      </c>
      <c r="C18">
        <v>2021</v>
      </c>
      <c r="D18">
        <v>4689439</v>
      </c>
    </row>
    <row r="19" spans="1:4" x14ac:dyDescent="0.25">
      <c r="A19">
        <v>21</v>
      </c>
      <c r="B19" t="s">
        <v>7</v>
      </c>
      <c r="C19">
        <v>2022</v>
      </c>
      <c r="D19">
        <v>5042419</v>
      </c>
    </row>
    <row r="20" spans="1:4" x14ac:dyDescent="0.25">
      <c r="A20">
        <v>22</v>
      </c>
      <c r="B20" t="s">
        <v>7</v>
      </c>
      <c r="C20">
        <v>2023</v>
      </c>
      <c r="D20">
        <v>6044533</v>
      </c>
    </row>
    <row r="21" spans="1:4" x14ac:dyDescent="0.25">
      <c r="A21">
        <v>23</v>
      </c>
      <c r="B21" t="s">
        <v>7</v>
      </c>
      <c r="C21">
        <v>2024</v>
      </c>
      <c r="D21">
        <v>6105541</v>
      </c>
    </row>
    <row r="22" spans="1:4" x14ac:dyDescent="0.25">
      <c r="A22">
        <v>24</v>
      </c>
      <c r="B22" t="s">
        <v>8</v>
      </c>
      <c r="C22">
        <v>2020</v>
      </c>
      <c r="D22">
        <v>8796.4</v>
      </c>
    </row>
    <row r="23" spans="1:4" x14ac:dyDescent="0.25">
      <c r="A23">
        <v>25</v>
      </c>
      <c r="B23" t="s">
        <v>8</v>
      </c>
      <c r="C23">
        <v>2021</v>
      </c>
      <c r="D23">
        <v>9565.4</v>
      </c>
    </row>
    <row r="24" spans="1:4" x14ac:dyDescent="0.25">
      <c r="A24">
        <v>26</v>
      </c>
      <c r="B24" t="s">
        <v>8</v>
      </c>
      <c r="C24">
        <v>2022</v>
      </c>
      <c r="D24">
        <v>10008.4</v>
      </c>
    </row>
    <row r="25" spans="1:4" x14ac:dyDescent="0.25">
      <c r="A25">
        <v>27</v>
      </c>
      <c r="B25" t="s">
        <v>8</v>
      </c>
      <c r="C25">
        <v>2023</v>
      </c>
      <c r="D25">
        <v>10320.6</v>
      </c>
    </row>
    <row r="26" spans="1:4" x14ac:dyDescent="0.25">
      <c r="A26">
        <v>28</v>
      </c>
      <c r="B26" t="s">
        <v>8</v>
      </c>
      <c r="C26">
        <v>2024</v>
      </c>
      <c r="D26">
        <v>10751.7</v>
      </c>
    </row>
    <row r="27" spans="1:4" x14ac:dyDescent="0.25">
      <c r="A27">
        <v>29</v>
      </c>
      <c r="B27" t="s">
        <v>9</v>
      </c>
      <c r="C27">
        <v>2020</v>
      </c>
      <c r="D27">
        <v>10715070</v>
      </c>
    </row>
    <row r="28" spans="1:4" x14ac:dyDescent="0.25">
      <c r="A28">
        <v>30</v>
      </c>
      <c r="B28" t="s">
        <v>9</v>
      </c>
      <c r="C28">
        <v>2021</v>
      </c>
      <c r="D28">
        <v>12027661.5</v>
      </c>
    </row>
    <row r="29" spans="1:4" x14ac:dyDescent="0.25">
      <c r="A29">
        <v>31</v>
      </c>
      <c r="B29" t="s">
        <v>9</v>
      </c>
      <c r="C29">
        <v>2022</v>
      </c>
      <c r="D29">
        <v>13489641.5</v>
      </c>
    </row>
    <row r="30" spans="1:4" x14ac:dyDescent="0.25">
      <c r="A30">
        <v>32</v>
      </c>
      <c r="B30" t="s">
        <v>9</v>
      </c>
      <c r="C30">
        <v>2023</v>
      </c>
      <c r="D30">
        <v>15033610</v>
      </c>
    </row>
    <row r="31" spans="1:4" x14ac:dyDescent="0.25">
      <c r="A31">
        <v>33</v>
      </c>
      <c r="B31" t="s">
        <v>9</v>
      </c>
      <c r="C31">
        <v>2024</v>
      </c>
      <c r="D31">
        <v>16224478.5</v>
      </c>
    </row>
    <row r="32" spans="1:4" x14ac:dyDescent="0.25">
      <c r="A32">
        <v>34</v>
      </c>
      <c r="B32" t="s">
        <v>10</v>
      </c>
      <c r="C32">
        <v>2020</v>
      </c>
      <c r="D32">
        <v>219492.2</v>
      </c>
    </row>
    <row r="33" spans="1:4" x14ac:dyDescent="0.25">
      <c r="A33">
        <v>35</v>
      </c>
      <c r="B33" t="s">
        <v>10</v>
      </c>
      <c r="C33">
        <v>2021</v>
      </c>
      <c r="D33">
        <v>241906.8</v>
      </c>
    </row>
    <row r="34" spans="1:4" x14ac:dyDescent="0.25">
      <c r="A34">
        <v>36</v>
      </c>
      <c r="B34" t="s">
        <v>10</v>
      </c>
      <c r="C34">
        <v>2022</v>
      </c>
      <c r="D34">
        <v>266473</v>
      </c>
    </row>
    <row r="35" spans="1:4" x14ac:dyDescent="0.25">
      <c r="A35">
        <v>37</v>
      </c>
      <c r="B35" t="s">
        <v>10</v>
      </c>
      <c r="C35">
        <v>2023</v>
      </c>
      <c r="D35">
        <v>291769.7</v>
      </c>
    </row>
    <row r="36" spans="1:4" x14ac:dyDescent="0.25">
      <c r="A36">
        <v>38</v>
      </c>
      <c r="B36" t="s">
        <v>10</v>
      </c>
      <c r="C36">
        <v>2024</v>
      </c>
      <c r="D36">
        <v>309460.40000000002</v>
      </c>
    </row>
    <row r="37" spans="1:4" x14ac:dyDescent="0.25">
      <c r="A37">
        <v>39</v>
      </c>
      <c r="B37" t="s">
        <v>11</v>
      </c>
      <c r="C37">
        <v>2020</v>
      </c>
      <c r="D37">
        <v>4869627</v>
      </c>
    </row>
    <row r="38" spans="1:4" x14ac:dyDescent="0.25">
      <c r="A38">
        <v>40</v>
      </c>
      <c r="B38" t="s">
        <v>11</v>
      </c>
      <c r="C38">
        <v>2021</v>
      </c>
      <c r="D38">
        <v>5566513</v>
      </c>
    </row>
    <row r="39" spans="1:4" x14ac:dyDescent="0.25">
      <c r="A39">
        <v>41</v>
      </c>
      <c r="B39" t="s">
        <v>11</v>
      </c>
      <c r="C39">
        <v>2022</v>
      </c>
      <c r="D39">
        <v>6246348</v>
      </c>
    </row>
    <row r="40" spans="1:4" x14ac:dyDescent="0.25">
      <c r="A40">
        <v>42</v>
      </c>
      <c r="B40" t="s">
        <v>11</v>
      </c>
      <c r="C40">
        <v>2023</v>
      </c>
      <c r="D40">
        <v>7041087</v>
      </c>
    </row>
    <row r="41" spans="1:4" x14ac:dyDescent="0.25">
      <c r="A41">
        <v>43</v>
      </c>
      <c r="B41" t="s">
        <v>11</v>
      </c>
      <c r="C41">
        <v>2024</v>
      </c>
      <c r="D41">
        <v>7197303</v>
      </c>
    </row>
    <row r="42" spans="1:4" x14ac:dyDescent="0.25">
      <c r="A42">
        <v>44</v>
      </c>
      <c r="B42" t="s">
        <v>12</v>
      </c>
      <c r="C42">
        <v>2020</v>
      </c>
      <c r="D42">
        <v>1623605</v>
      </c>
    </row>
    <row r="43" spans="1:4" x14ac:dyDescent="0.25">
      <c r="A43">
        <v>45</v>
      </c>
      <c r="B43" t="s">
        <v>12</v>
      </c>
      <c r="C43">
        <v>2021</v>
      </c>
      <c r="D43">
        <v>1821644</v>
      </c>
    </row>
    <row r="44" spans="1:4" x14ac:dyDescent="0.25">
      <c r="A44">
        <v>46</v>
      </c>
      <c r="B44" t="s">
        <v>12</v>
      </c>
      <c r="C44">
        <v>2022</v>
      </c>
      <c r="D44">
        <v>2042781.5</v>
      </c>
    </row>
    <row r="45" spans="1:4" x14ac:dyDescent="0.25">
      <c r="A45">
        <v>47</v>
      </c>
      <c r="B45" t="s">
        <v>12</v>
      </c>
      <c r="C45">
        <v>2023</v>
      </c>
      <c r="D45">
        <v>2119786.7999999998</v>
      </c>
    </row>
    <row r="46" spans="1:4" x14ac:dyDescent="0.25">
      <c r="A46">
        <v>48</v>
      </c>
      <c r="B46" t="s">
        <v>12</v>
      </c>
      <c r="C46">
        <v>2024</v>
      </c>
      <c r="D46">
        <v>2171266</v>
      </c>
    </row>
    <row r="47" spans="1:4" x14ac:dyDescent="0.25">
      <c r="A47">
        <v>49</v>
      </c>
      <c r="B47" t="s">
        <v>13</v>
      </c>
      <c r="C47">
        <v>2020</v>
      </c>
      <c r="D47">
        <v>2376422.7000000002</v>
      </c>
    </row>
    <row r="48" spans="1:4" x14ac:dyDescent="0.25">
      <c r="A48">
        <v>50</v>
      </c>
      <c r="B48" t="s">
        <v>13</v>
      </c>
      <c r="C48">
        <v>2021</v>
      </c>
      <c r="D48">
        <v>2700161.2</v>
      </c>
    </row>
    <row r="49" spans="1:4" x14ac:dyDescent="0.25">
      <c r="A49">
        <v>51</v>
      </c>
      <c r="B49" t="s">
        <v>13</v>
      </c>
      <c r="C49">
        <v>2022</v>
      </c>
      <c r="D49">
        <v>3168615</v>
      </c>
    </row>
    <row r="50" spans="1:4" x14ac:dyDescent="0.25">
      <c r="A50">
        <v>52</v>
      </c>
      <c r="B50" t="s">
        <v>13</v>
      </c>
      <c r="C50">
        <v>2023</v>
      </c>
      <c r="D50">
        <v>3511497.7</v>
      </c>
    </row>
    <row r="51" spans="1:4" x14ac:dyDescent="0.25">
      <c r="A51">
        <v>53</v>
      </c>
      <c r="B51" t="s">
        <v>13</v>
      </c>
      <c r="C51">
        <v>2024</v>
      </c>
      <c r="D51">
        <v>3691741.8</v>
      </c>
    </row>
    <row r="52" spans="1:4" x14ac:dyDescent="0.25">
      <c r="A52">
        <v>54</v>
      </c>
      <c r="B52" t="s">
        <v>14</v>
      </c>
      <c r="C52">
        <v>2020</v>
      </c>
      <c r="D52">
        <v>4678.5</v>
      </c>
    </row>
    <row r="53" spans="1:4" x14ac:dyDescent="0.25">
      <c r="A53">
        <v>55</v>
      </c>
      <c r="B53" t="s">
        <v>14</v>
      </c>
      <c r="C53">
        <v>2021</v>
      </c>
      <c r="D53">
        <v>5192.1000000000004</v>
      </c>
    </row>
    <row r="54" spans="1:4" x14ac:dyDescent="0.25">
      <c r="A54">
        <v>56</v>
      </c>
      <c r="B54" t="s">
        <v>14</v>
      </c>
      <c r="C54">
        <v>2022</v>
      </c>
      <c r="D54">
        <v>5134.1000000000004</v>
      </c>
    </row>
    <row r="55" spans="1:4" x14ac:dyDescent="0.25">
      <c r="A55">
        <v>57</v>
      </c>
      <c r="B55" t="s">
        <v>14</v>
      </c>
      <c r="C55">
        <v>2023</v>
      </c>
      <c r="D55">
        <v>5102.3999999999996</v>
      </c>
    </row>
    <row r="56" spans="1:4" x14ac:dyDescent="0.25">
      <c r="A56">
        <v>58</v>
      </c>
      <c r="B56" t="s">
        <v>14</v>
      </c>
      <c r="C56">
        <v>2024</v>
      </c>
      <c r="D56">
        <v>5199.3999999999996</v>
      </c>
    </row>
    <row r="57" spans="1:4" x14ac:dyDescent="0.25">
      <c r="A57">
        <v>64</v>
      </c>
      <c r="B57" t="s">
        <v>15</v>
      </c>
      <c r="C57">
        <v>2020</v>
      </c>
      <c r="D57">
        <v>2742.6</v>
      </c>
    </row>
    <row r="58" spans="1:4" x14ac:dyDescent="0.25">
      <c r="A58">
        <v>65</v>
      </c>
      <c r="B58" t="s">
        <v>15</v>
      </c>
      <c r="C58">
        <v>2021</v>
      </c>
      <c r="D58">
        <v>2907.3</v>
      </c>
    </row>
    <row r="59" spans="1:4" x14ac:dyDescent="0.25">
      <c r="A59">
        <v>66</v>
      </c>
      <c r="B59" t="s">
        <v>15</v>
      </c>
      <c r="C59">
        <v>2022</v>
      </c>
      <c r="D59">
        <v>3015.4</v>
      </c>
    </row>
    <row r="60" spans="1:4" x14ac:dyDescent="0.25">
      <c r="A60">
        <v>67</v>
      </c>
      <c r="B60" t="s">
        <v>15</v>
      </c>
      <c r="C60">
        <v>2023</v>
      </c>
      <c r="D60">
        <v>3138.5</v>
      </c>
    </row>
    <row r="61" spans="1:4" x14ac:dyDescent="0.25">
      <c r="A61">
        <v>68</v>
      </c>
      <c r="B61" t="s">
        <v>15</v>
      </c>
      <c r="C61">
        <v>2024</v>
      </c>
      <c r="D61">
        <v>3219</v>
      </c>
    </row>
    <row r="62" spans="1:4" x14ac:dyDescent="0.25">
      <c r="A62">
        <v>69</v>
      </c>
      <c r="B62" t="s">
        <v>16</v>
      </c>
      <c r="C62">
        <v>2020</v>
      </c>
      <c r="D62">
        <v>10170.1</v>
      </c>
    </row>
    <row r="63" spans="1:4" x14ac:dyDescent="0.25">
      <c r="A63">
        <v>70</v>
      </c>
      <c r="B63" t="s">
        <v>16</v>
      </c>
      <c r="C63">
        <v>2021</v>
      </c>
      <c r="D63">
        <v>10285.1</v>
      </c>
    </row>
    <row r="64" spans="1:4" x14ac:dyDescent="0.25">
      <c r="A64">
        <v>71</v>
      </c>
      <c r="B64" t="s">
        <v>16</v>
      </c>
      <c r="C64">
        <v>2022</v>
      </c>
      <c r="D64">
        <v>10364.200000000001</v>
      </c>
    </row>
    <row r="65" spans="1:4" x14ac:dyDescent="0.25">
      <c r="A65">
        <v>72</v>
      </c>
      <c r="B65" t="s">
        <v>16</v>
      </c>
      <c r="C65">
        <v>2023</v>
      </c>
      <c r="D65">
        <v>10397.1</v>
      </c>
    </row>
    <row r="66" spans="1:4" x14ac:dyDescent="0.25">
      <c r="A66">
        <v>73</v>
      </c>
      <c r="B66" t="s">
        <v>16</v>
      </c>
      <c r="C66">
        <v>2024</v>
      </c>
      <c r="D66">
        <v>10733.3</v>
      </c>
    </row>
    <row r="67" spans="1:4" x14ac:dyDescent="0.25">
      <c r="A67">
        <v>74</v>
      </c>
      <c r="B67" t="s">
        <v>17</v>
      </c>
      <c r="C67">
        <v>2020</v>
      </c>
      <c r="D67">
        <v>3520.4</v>
      </c>
    </row>
    <row r="68" spans="1:4" x14ac:dyDescent="0.25">
      <c r="A68">
        <v>75</v>
      </c>
      <c r="B68" t="s">
        <v>17</v>
      </c>
      <c r="C68">
        <v>2021</v>
      </c>
      <c r="D68">
        <v>3692</v>
      </c>
    </row>
    <row r="69" spans="1:4" x14ac:dyDescent="0.25">
      <c r="A69">
        <v>76</v>
      </c>
      <c r="B69" t="s">
        <v>17</v>
      </c>
      <c r="C69">
        <v>2022</v>
      </c>
      <c r="D69">
        <v>3920.3</v>
      </c>
    </row>
    <row r="70" spans="1:4" x14ac:dyDescent="0.25">
      <c r="A70">
        <v>77</v>
      </c>
      <c r="B70" t="s">
        <v>17</v>
      </c>
      <c r="C70">
        <v>2023</v>
      </c>
      <c r="D70">
        <v>4108.1000000000004</v>
      </c>
    </row>
    <row r="71" spans="1:4" x14ac:dyDescent="0.25">
      <c r="A71">
        <v>78</v>
      </c>
      <c r="B71" t="s">
        <v>17</v>
      </c>
      <c r="C71">
        <v>2024</v>
      </c>
      <c r="D71">
        <v>4321.6000000000004</v>
      </c>
    </row>
    <row r="72" spans="1:4" x14ac:dyDescent="0.25">
      <c r="A72">
        <v>79</v>
      </c>
      <c r="B72" t="s">
        <v>18</v>
      </c>
      <c r="C72">
        <v>2020</v>
      </c>
      <c r="D72">
        <v>546.70000000000005</v>
      </c>
    </row>
    <row r="73" spans="1:4" x14ac:dyDescent="0.25">
      <c r="A73">
        <v>80</v>
      </c>
      <c r="B73" t="s">
        <v>18</v>
      </c>
      <c r="C73">
        <v>2021</v>
      </c>
      <c r="D73">
        <v>562</v>
      </c>
    </row>
    <row r="74" spans="1:4" x14ac:dyDescent="0.25">
      <c r="A74">
        <v>81</v>
      </c>
      <c r="B74" t="s">
        <v>18</v>
      </c>
      <c r="C74">
        <v>2022</v>
      </c>
      <c r="D74">
        <v>562.9</v>
      </c>
    </row>
    <row r="75" spans="1:4" x14ac:dyDescent="0.25">
      <c r="A75">
        <v>82</v>
      </c>
      <c r="B75" t="s">
        <v>18</v>
      </c>
      <c r="C75">
        <v>2023</v>
      </c>
      <c r="D75">
        <v>579.4</v>
      </c>
    </row>
    <row r="76" spans="1:4" x14ac:dyDescent="0.25">
      <c r="A76">
        <v>83</v>
      </c>
      <c r="B76" t="s">
        <v>18</v>
      </c>
      <c r="C76">
        <v>2024</v>
      </c>
      <c r="D76">
        <v>630.20000000000005</v>
      </c>
    </row>
    <row r="77" spans="1:4" x14ac:dyDescent="0.25">
      <c r="A77">
        <v>84</v>
      </c>
      <c r="B77" t="s">
        <v>19</v>
      </c>
      <c r="C77">
        <v>2020</v>
      </c>
      <c r="D77">
        <v>469.1</v>
      </c>
    </row>
    <row r="78" spans="1:4" x14ac:dyDescent="0.25">
      <c r="A78">
        <v>85</v>
      </c>
      <c r="B78" t="s">
        <v>19</v>
      </c>
      <c r="C78">
        <v>2021</v>
      </c>
      <c r="D78">
        <v>520.20000000000005</v>
      </c>
    </row>
    <row r="79" spans="1:4" x14ac:dyDescent="0.25">
      <c r="A79">
        <v>86</v>
      </c>
      <c r="B79" t="s">
        <v>19</v>
      </c>
      <c r="C79">
        <v>2022</v>
      </c>
      <c r="D79">
        <v>580.5</v>
      </c>
    </row>
    <row r="80" spans="1:4" x14ac:dyDescent="0.25">
      <c r="A80">
        <v>87</v>
      </c>
      <c r="B80" t="s">
        <v>19</v>
      </c>
      <c r="C80">
        <v>2023</v>
      </c>
      <c r="D80">
        <v>676.2</v>
      </c>
    </row>
    <row r="81" spans="1:4" x14ac:dyDescent="0.25">
      <c r="A81">
        <v>88</v>
      </c>
      <c r="B81" t="s">
        <v>19</v>
      </c>
      <c r="C81">
        <v>2024</v>
      </c>
      <c r="D81">
        <v>751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2A153C-7061-4F59-A305-E3AAE68D4C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 table</vt:lpstr>
      <vt:lpstr>indicators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Wanjira</dc:creator>
  <cp:lastModifiedBy>Mary Wanjira</cp:lastModifiedBy>
  <dcterms:created xsi:type="dcterms:W3CDTF">2026-04-28T19:11:43Z</dcterms:created>
  <dcterms:modified xsi:type="dcterms:W3CDTF">2026-05-02T21:00:31Z</dcterms:modified>
</cp:coreProperties>
</file>